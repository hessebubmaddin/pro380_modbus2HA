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92.168.1.105\_Family\Haus\Smarthome\"/>
    </mc:Choice>
  </mc:AlternateContent>
  <xr:revisionPtr revIDLastSave="0" documentId="8_{8CF68447-601F-47EB-97A1-15458B8B55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gister Table" sheetId="1" r:id="rId1"/>
    <sheet name="Notes" sheetId="2" r:id="rId2"/>
  </sheets>
  <definedNames>
    <definedName name="_xlnm._FilterDatabase" localSheetId="0" hidden="1">'Register Table'!$A$1:$N$76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2" i="1"/>
  <c r="C3" i="1"/>
  <c r="C4" i="1"/>
  <c r="C5" i="1"/>
  <c r="C6" i="1"/>
  <c r="C7" i="1"/>
  <c r="C9" i="1"/>
  <c r="C8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</calcChain>
</file>

<file path=xl/sharedStrings.xml><?xml version="1.0" encoding="utf-8"?>
<sst xmlns="http://schemas.openxmlformats.org/spreadsheetml/2006/main" count="787" uniqueCount="394">
  <si>
    <t>Register Address</t>
  </si>
  <si>
    <t>Contents (hex)</t>
  </si>
  <si>
    <t>Contents (dec)</t>
  </si>
  <si>
    <t>Description</t>
  </si>
  <si>
    <t>Beschreibung</t>
  </si>
  <si>
    <t>Read/Write</t>
  </si>
  <si>
    <t>Datablocks</t>
  </si>
  <si>
    <t>Data type / response</t>
  </si>
  <si>
    <t>LCD page</t>
  </si>
  <si>
    <t>Modbus</t>
  </si>
  <si>
    <t>Modbus Register Type</t>
  </si>
  <si>
    <t>Function Code</t>
  </si>
  <si>
    <t>Remarks</t>
  </si>
  <si>
    <t>1000</t>
  </si>
  <si>
    <t>4000</t>
  </si>
  <si>
    <t>Serial number</t>
  </si>
  <si>
    <t>Seriennummer</t>
  </si>
  <si>
    <t>Read</t>
  </si>
  <si>
    <t>signed</t>
  </si>
  <si>
    <t>P62</t>
  </si>
  <si>
    <t>R</t>
  </si>
  <si>
    <t>input</t>
  </si>
  <si>
    <t>04</t>
  </si>
  <si>
    <t>By default last 8 digits of serial number</t>
  </si>
  <si>
    <t>1010</t>
  </si>
  <si>
    <t>4002</t>
  </si>
  <si>
    <t>Meter code</t>
  </si>
  <si>
    <t>Zählercode</t>
  </si>
  <si>
    <t>/</t>
  </si>
  <si>
    <t>0102 DC version; 0103 CT version</t>
  </si>
  <si>
    <t>1018</t>
  </si>
  <si>
    <t>4003</t>
  </si>
  <si>
    <t>Meter ID (iBus/Modbus)</t>
  </si>
  <si>
    <t>Zähler-ID (iBus/Modbus)</t>
  </si>
  <si>
    <t>Read/write</t>
  </si>
  <si>
    <t>HEX response</t>
  </si>
  <si>
    <t>P61</t>
  </si>
  <si>
    <t>R/W</t>
  </si>
  <si>
    <t>holding</t>
  </si>
  <si>
    <t>03</t>
  </si>
  <si>
    <t>001-247 (001 default)</t>
  </si>
  <si>
    <t>1020</t>
  </si>
  <si>
    <t>4004</t>
  </si>
  <si>
    <t>Baud Rate</t>
  </si>
  <si>
    <t>Baud-Rate</t>
  </si>
  <si>
    <t>P64</t>
  </si>
  <si>
    <t>9600 (default), 4800, 2400, 1200, 600, 300</t>
  </si>
  <si>
    <t>1050</t>
  </si>
  <si>
    <t>4005</t>
  </si>
  <si>
    <t>Protocol Version</t>
  </si>
  <si>
    <t>Protokollversion</t>
  </si>
  <si>
    <t>Float - Big Endian (ABCD)</t>
  </si>
  <si>
    <t>3.2 = New Modbus protocol</t>
  </si>
  <si>
    <t>1054</t>
  </si>
  <si>
    <t>Software Version</t>
  </si>
  <si>
    <t>Softwareversion</t>
  </si>
  <si>
    <t>Shows present software version</t>
  </si>
  <si>
    <t>1058</t>
  </si>
  <si>
    <t>4009</t>
  </si>
  <si>
    <t>Hardware Version</t>
  </si>
  <si>
    <t>Hardware-Version</t>
  </si>
  <si>
    <t>1.03, will be updated if hardware modifications are made</t>
  </si>
  <si>
    <t>1060</t>
  </si>
  <si>
    <t>400B</t>
  </si>
  <si>
    <t>Meter Amps</t>
  </si>
  <si>
    <t>Amperemeter</t>
  </si>
  <si>
    <t>100 for DC version; 5 for CT version</t>
  </si>
  <si>
    <t>1062</t>
  </si>
  <si>
    <t>400C</t>
  </si>
  <si>
    <t>CT rate</t>
  </si>
  <si>
    <t>CT-Rate</t>
  </si>
  <si>
    <t>P58</t>
  </si>
  <si>
    <t>5:0-50:0; 75:0; 125:0; 200:0; 250:0; 300:0; 400:0; 500:0; 800:0; 1000:0; 1500:0; 2000:0; 2500:0; 3000:0; 4000:0; 5000:0; 7500:0</t>
  </si>
  <si>
    <t>1066</t>
  </si>
  <si>
    <t>400D</t>
  </si>
  <si>
    <t>S0 output rate</t>
  </si>
  <si>
    <t>S0-Ausgangsrate</t>
  </si>
  <si>
    <t>P59 / P60</t>
  </si>
  <si>
    <t>1000, 2000, 10000, 20000, 40000</t>
  </si>
  <si>
    <t>107A</t>
  </si>
  <si>
    <t>400F</t>
  </si>
  <si>
    <t>Combined Code</t>
  </si>
  <si>
    <t>Kombinierter Code</t>
  </si>
  <si>
    <t>P60</t>
  </si>
  <si>
    <t>01 (A), 05 (06, 09 and 10)</t>
  </si>
  <si>
    <t>1510</t>
  </si>
  <si>
    <t>4010</t>
  </si>
  <si>
    <t>LCD cycle time</t>
  </si>
  <si>
    <t>LCD-Zykluszeit</t>
  </si>
  <si>
    <t>P63</t>
  </si>
  <si>
    <t>0-30 (seconds, 10 seconds default)</t>
  </si>
  <si>
    <t>1520</t>
  </si>
  <si>
    <t>4011</t>
  </si>
  <si>
    <t>Parity setting</t>
  </si>
  <si>
    <t>Paritätseinstellung</t>
  </si>
  <si>
    <t>01 (even); 02 (none)</t>
  </si>
  <si>
    <t>2000</t>
  </si>
  <si>
    <t>5000</t>
  </si>
  <si>
    <t>Voltage</t>
  </si>
  <si>
    <t>Spannung</t>
  </si>
  <si>
    <t>Only for 1 phase meter (PRO1 series)</t>
  </si>
  <si>
    <t>2008</t>
  </si>
  <si>
    <t>5002</t>
  </si>
  <si>
    <t>L1 Voltage</t>
  </si>
  <si>
    <t>Spannung L1</t>
  </si>
  <si>
    <t>P38</t>
  </si>
  <si>
    <t>200C</t>
  </si>
  <si>
    <t>5004</t>
  </si>
  <si>
    <t>L2 Voltage</t>
  </si>
  <si>
    <t>Spannung L2</t>
  </si>
  <si>
    <t>P39</t>
  </si>
  <si>
    <t>2010</t>
  </si>
  <si>
    <t>5006</t>
  </si>
  <si>
    <t>L3 Voltage</t>
  </si>
  <si>
    <t>Spannung L3</t>
  </si>
  <si>
    <t>P40</t>
  </si>
  <si>
    <t>2020</t>
  </si>
  <si>
    <t>5008</t>
  </si>
  <si>
    <t>Grid frequency</t>
  </si>
  <si>
    <t>Netzfrequenz</t>
  </si>
  <si>
    <t>P56</t>
  </si>
  <si>
    <t>2060</t>
  </si>
  <si>
    <t>500A</t>
  </si>
  <si>
    <t>Current</t>
  </si>
  <si>
    <t>Strom</t>
  </si>
  <si>
    <t>2068</t>
  </si>
  <si>
    <t>500C</t>
  </si>
  <si>
    <t>L1 Current</t>
  </si>
  <si>
    <t>Strom L1</t>
  </si>
  <si>
    <t>P41</t>
  </si>
  <si>
    <t>206C</t>
  </si>
  <si>
    <t>500E</t>
  </si>
  <si>
    <t>L2 Current</t>
  </si>
  <si>
    <t>Strom L2</t>
  </si>
  <si>
    <t>P42</t>
  </si>
  <si>
    <t>2070</t>
  </si>
  <si>
    <t>5010</t>
  </si>
  <si>
    <t>L3 Current</t>
  </si>
  <si>
    <t>Strom L3</t>
  </si>
  <si>
    <t>P43</t>
  </si>
  <si>
    <t>2080</t>
  </si>
  <si>
    <t>5012</t>
  </si>
  <si>
    <t>Total Active Power</t>
  </si>
  <si>
    <t>Gesamt-Wirkleistung</t>
  </si>
  <si>
    <t>P44</t>
  </si>
  <si>
    <t>2088</t>
  </si>
  <si>
    <t>5014</t>
  </si>
  <si>
    <t>L1 Active Power</t>
  </si>
  <si>
    <t>Wirkleistung L1</t>
  </si>
  <si>
    <t>P45</t>
  </si>
  <si>
    <t>208C</t>
  </si>
  <si>
    <t>5016</t>
  </si>
  <si>
    <t>L2 Active Power</t>
  </si>
  <si>
    <t>Wirkleistung L2</t>
  </si>
  <si>
    <t>P46</t>
  </si>
  <si>
    <t>2090</t>
  </si>
  <si>
    <t>5018</t>
  </si>
  <si>
    <t>L3 Active Power</t>
  </si>
  <si>
    <t>Wirkleistung L3</t>
  </si>
  <si>
    <t>P47</t>
  </si>
  <si>
    <t>20A0</t>
  </si>
  <si>
    <t>501A</t>
  </si>
  <si>
    <t>Total Reactive Power</t>
  </si>
  <si>
    <t>Gesamt-Blindleistung</t>
  </si>
  <si>
    <t>20A8</t>
  </si>
  <si>
    <t>501C</t>
  </si>
  <si>
    <t>L1 Reactive Power</t>
  </si>
  <si>
    <t>Blindleistung L1</t>
  </si>
  <si>
    <t>20AC</t>
  </si>
  <si>
    <t>501E</t>
  </si>
  <si>
    <t>L2 Reactive Power</t>
  </si>
  <si>
    <t>Blindleistung L2</t>
  </si>
  <si>
    <t>20B0</t>
  </si>
  <si>
    <t>5020</t>
  </si>
  <si>
    <t>L3 Reactive Power</t>
  </si>
  <si>
    <t>Blindleistung L3</t>
  </si>
  <si>
    <t>20C0</t>
  </si>
  <si>
    <t>5022</t>
  </si>
  <si>
    <t>Total Apparent Power</t>
  </si>
  <si>
    <t>Gesamt-Scheinleistung</t>
  </si>
  <si>
    <t>P48</t>
  </si>
  <si>
    <t>20C8</t>
  </si>
  <si>
    <t>5024</t>
  </si>
  <si>
    <t>L1 Apparent Power</t>
  </si>
  <si>
    <t>Scheinleistung L1</t>
  </si>
  <si>
    <t>P49</t>
  </si>
  <si>
    <t>20CC</t>
  </si>
  <si>
    <t>5026</t>
  </si>
  <si>
    <t>L2 Apparent Power</t>
  </si>
  <si>
    <t>Scheinleistung L2</t>
  </si>
  <si>
    <t>P50</t>
  </si>
  <si>
    <t>20D0</t>
  </si>
  <si>
    <t>5028</t>
  </si>
  <si>
    <t>L3 Apparent Power</t>
  </si>
  <si>
    <t>Scheinleistung L3</t>
  </si>
  <si>
    <t>P51</t>
  </si>
  <si>
    <t>20E0</t>
  </si>
  <si>
    <t>502A</t>
  </si>
  <si>
    <t>Power Factor</t>
  </si>
  <si>
    <t>Leistungsfaktor</t>
  </si>
  <si>
    <t>P52</t>
  </si>
  <si>
    <t>20E8</t>
  </si>
  <si>
    <t>502C</t>
  </si>
  <si>
    <t>L1 Power Factor</t>
  </si>
  <si>
    <t>Leistungsfaktor L1</t>
  </si>
  <si>
    <t>P53</t>
  </si>
  <si>
    <t>20EC</t>
  </si>
  <si>
    <t>502E</t>
  </si>
  <si>
    <t>L2 Power Factor</t>
  </si>
  <si>
    <t>Leistungsfaktor L2</t>
  </si>
  <si>
    <t>P54</t>
  </si>
  <si>
    <t>20F0</t>
  </si>
  <si>
    <t>5030</t>
  </si>
  <si>
    <t>L3 Power Factor</t>
  </si>
  <si>
    <t>Leistungsfaktor L3</t>
  </si>
  <si>
    <t>P55</t>
  </si>
  <si>
    <t>2200</t>
  </si>
  <si>
    <t>Tariff</t>
  </si>
  <si>
    <t>Tarif</t>
  </si>
  <si>
    <t>01 (1h saved), 02 (2h saved)</t>
  </si>
  <si>
    <t>3000</t>
  </si>
  <si>
    <t>Total Active Energy</t>
  </si>
  <si>
    <t>Gesamt-Wirkenergie</t>
  </si>
  <si>
    <t>P02</t>
  </si>
  <si>
    <t>6002</t>
  </si>
  <si>
    <t>T1 Total Active Energy</t>
  </si>
  <si>
    <t>T1 Gesamt-Wirkenergie</t>
  </si>
  <si>
    <t>P03</t>
  </si>
  <si>
    <t>6004</t>
  </si>
  <si>
    <t>T2 Total Active Energy</t>
  </si>
  <si>
    <t>T2 Gesamt-Wirkenergie</t>
  </si>
  <si>
    <t>P04</t>
  </si>
  <si>
    <t>3008</t>
  </si>
  <si>
    <t>6006</t>
  </si>
  <si>
    <t>L1 Total Active Energy</t>
  </si>
  <si>
    <t>Wirkenergie L1</t>
  </si>
  <si>
    <t>P11</t>
  </si>
  <si>
    <t>300C</t>
  </si>
  <si>
    <t>6008</t>
  </si>
  <si>
    <t>L2 Total Active Energy</t>
  </si>
  <si>
    <t>Wirkenergie L2</t>
  </si>
  <si>
    <t>P14</t>
  </si>
  <si>
    <t>3010</t>
  </si>
  <si>
    <t>600A</t>
  </si>
  <si>
    <t>L3 Total Active Energy</t>
  </si>
  <si>
    <t>Wirkenergie L3</t>
  </si>
  <si>
    <t>P17</t>
  </si>
  <si>
    <t>3020</t>
  </si>
  <si>
    <t>600C</t>
  </si>
  <si>
    <t>Forward Active Energy</t>
  </si>
  <si>
    <t>Wirkenergie-Bezug</t>
  </si>
  <si>
    <t>P05</t>
  </si>
  <si>
    <t>600E</t>
  </si>
  <si>
    <t>T1 Forward Active Energy</t>
  </si>
  <si>
    <t>T1 Wirkenergie-Bezug</t>
  </si>
  <si>
    <t>P06</t>
  </si>
  <si>
    <t>6010</t>
  </si>
  <si>
    <t>T2 Forward Active Energy</t>
  </si>
  <si>
    <t>T2 Wirkenergie-Bezug</t>
  </si>
  <si>
    <t>P07</t>
  </si>
  <si>
    <t>3028</t>
  </si>
  <si>
    <t>6012</t>
  </si>
  <si>
    <t>L1 Forward Active Energy</t>
  </si>
  <si>
    <t>Wirkenergie-Bezug L1</t>
  </si>
  <si>
    <t>P12</t>
  </si>
  <si>
    <t>302C</t>
  </si>
  <si>
    <t>6014</t>
  </si>
  <si>
    <t>L2 Forward Active Energy</t>
  </si>
  <si>
    <t>Wirkenergie-Bezug L2</t>
  </si>
  <si>
    <t>P15</t>
  </si>
  <si>
    <t>3030</t>
  </si>
  <si>
    <t>6016</t>
  </si>
  <si>
    <t>L3 Forward Active Energy</t>
  </si>
  <si>
    <t>Wirkenergie-Bezug L3</t>
  </si>
  <si>
    <t>P18</t>
  </si>
  <si>
    <t>3040</t>
  </si>
  <si>
    <t>6018</t>
  </si>
  <si>
    <t>Reverse Active Energy</t>
  </si>
  <si>
    <t>Eingespeiste Wirkenergie</t>
  </si>
  <si>
    <t>P08</t>
  </si>
  <si>
    <t>601A</t>
  </si>
  <si>
    <t>T1 Reverse Active Energy</t>
  </si>
  <si>
    <t>T1 Eingespeiste Wirkenergie</t>
  </si>
  <si>
    <t>P09</t>
  </si>
  <si>
    <t>601C</t>
  </si>
  <si>
    <t>T2 Reverse Active Energy</t>
  </si>
  <si>
    <t>T2 Eingespeiste Wirkenergie</t>
  </si>
  <si>
    <t>P10</t>
  </si>
  <si>
    <t>601E</t>
  </si>
  <si>
    <t>L1 Reverse Active Energy</t>
  </si>
  <si>
    <t>Eingespeiste Wirkenergie L1</t>
  </si>
  <si>
    <t>P13</t>
  </si>
  <si>
    <t>304C</t>
  </si>
  <si>
    <t>6020</t>
  </si>
  <si>
    <t>L2 Reverse Active Energy</t>
  </si>
  <si>
    <t>Eingespeiste Wirkenergie L2</t>
  </si>
  <si>
    <t>P16</t>
  </si>
  <si>
    <t>L3 Reverse Active Energy</t>
  </si>
  <si>
    <t>Eingespeiste Wirkenergie L3</t>
  </si>
  <si>
    <t>P19</t>
  </si>
  <si>
    <t>3060</t>
  </si>
  <si>
    <t>6024</t>
  </si>
  <si>
    <t>Total Reactive Energy</t>
  </si>
  <si>
    <t>Gesamt-Blindenergie</t>
  </si>
  <si>
    <t>P20</t>
  </si>
  <si>
    <t>3160</t>
  </si>
  <si>
    <t>6026</t>
  </si>
  <si>
    <t>T1 Total Reactive Energy</t>
  </si>
  <si>
    <t>T1 Gesamt-Blindenergie</t>
  </si>
  <si>
    <t>P21</t>
  </si>
  <si>
    <t>3260</t>
  </si>
  <si>
    <t>6028</t>
  </si>
  <si>
    <t>T2 Total Reactive Energy</t>
  </si>
  <si>
    <t>T2 Gesamt-Blindenergie</t>
  </si>
  <si>
    <t>P22</t>
  </si>
  <si>
    <t>3068</t>
  </si>
  <si>
    <t>602A</t>
  </si>
  <si>
    <t>L1 Total Reactive Energy</t>
  </si>
  <si>
    <t>Blindenergie L1</t>
  </si>
  <si>
    <t>P29</t>
  </si>
  <si>
    <t>306C</t>
  </si>
  <si>
    <t>602C</t>
  </si>
  <si>
    <t>L2 Total Reactive Energy</t>
  </si>
  <si>
    <t>Blindenergie L2</t>
  </si>
  <si>
    <t>P32</t>
  </si>
  <si>
    <t>3070</t>
  </si>
  <si>
    <t>602E</t>
  </si>
  <si>
    <t>L3 Total Reactive Energy</t>
  </si>
  <si>
    <t>Blindenergie L3</t>
  </si>
  <si>
    <t>P35</t>
  </si>
  <si>
    <t>3080</t>
  </si>
  <si>
    <t>6030</t>
  </si>
  <si>
    <t>Forward Reactive Energy</t>
  </si>
  <si>
    <t>Vorwärts-Blindenergie</t>
  </si>
  <si>
    <t>P23</t>
  </si>
  <si>
    <t>3180</t>
  </si>
  <si>
    <t>6032</t>
  </si>
  <si>
    <t>T1 Forward Reactive Energy</t>
  </si>
  <si>
    <t>T1 Vorwärts-Blindenergie</t>
  </si>
  <si>
    <t>P24</t>
  </si>
  <si>
    <t>3280</t>
  </si>
  <si>
    <t>6034</t>
  </si>
  <si>
    <t>T2 Forward Reactive Energy</t>
  </si>
  <si>
    <t>T2 Vorwärts-Blindenergie</t>
  </si>
  <si>
    <t>P25</t>
  </si>
  <si>
    <t>3088</t>
  </si>
  <si>
    <t>6036</t>
  </si>
  <si>
    <t>L1 Forward Reactive Energy</t>
  </si>
  <si>
    <t>Vorwärts-Blindenergie L1</t>
  </si>
  <si>
    <t>P30</t>
  </si>
  <si>
    <t>308C</t>
  </si>
  <si>
    <t>6038</t>
  </si>
  <si>
    <t>L2 Forward Reactive Energy</t>
  </si>
  <si>
    <t>Vorwärts-Blindenergie L2</t>
  </si>
  <si>
    <t>P33</t>
  </si>
  <si>
    <t>3090</t>
  </si>
  <si>
    <t>603A</t>
  </si>
  <si>
    <t>L3 Forward Reactive Energy</t>
  </si>
  <si>
    <t>Vorwärts-Blindenergie L3</t>
  </si>
  <si>
    <t>P36</t>
  </si>
  <si>
    <t>30A0</t>
  </si>
  <si>
    <t>603C</t>
  </si>
  <si>
    <t>Reverse Reactive Energy</t>
  </si>
  <si>
    <t>Rückwärts-Blindenergie</t>
  </si>
  <si>
    <t>P26</t>
  </si>
  <si>
    <t>31A0</t>
  </si>
  <si>
    <t>603E</t>
  </si>
  <si>
    <t>T1 Reverse Reactive Energy</t>
  </si>
  <si>
    <t>T1 Rückwärts-Blindenergie</t>
  </si>
  <si>
    <t>P27</t>
  </si>
  <si>
    <t>32A0</t>
  </si>
  <si>
    <t>6040</t>
  </si>
  <si>
    <t>T2 Reverse Reactive Energy</t>
  </si>
  <si>
    <t>T2 Rückwärts-Blindenergie</t>
  </si>
  <si>
    <t>P28</t>
  </si>
  <si>
    <t>30A8</t>
  </si>
  <si>
    <t>6042</t>
  </si>
  <si>
    <t>L1 Reverse Reactive Energy</t>
  </si>
  <si>
    <t>Rückwärts-Blindenergie L1</t>
  </si>
  <si>
    <t>P31</t>
  </si>
  <si>
    <t>30AC</t>
  </si>
  <si>
    <t>6044</t>
  </si>
  <si>
    <t>L2 Reverse Reactive Energy</t>
  </si>
  <si>
    <t>Rückwärts-Blindenergie L2</t>
  </si>
  <si>
    <t>P34</t>
  </si>
  <si>
    <t>30B0</t>
  </si>
  <si>
    <t>6046</t>
  </si>
  <si>
    <t>L3 Reverse Reactive Energy</t>
  </si>
  <si>
    <t>Rückwärts-Blindenergie L3</t>
  </si>
  <si>
    <t>P37</t>
  </si>
  <si>
    <t>Select</t>
  </si>
  <si>
    <t>x</t>
  </si>
  <si>
    <t>T1, T2</t>
  </si>
  <si>
    <t>Tariff-Values; only applicable if you have configured a standard and alternative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</si>
</sst>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3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>
      <selection activeCell="A24" sqref="A24:XFD24"/>
    </sheetView>
  </sheetViews>
  <sheetFormatPr baseColWidth="10" defaultColWidth="9.140625" defaultRowHeight="15" x14ac:dyDescent="0.25"/>
  <cols>
    <col min="1" max="1" width="20.42578125" bestFit="1" customWidth="1"/>
    <col min="2" max="2" width="18.7109375" bestFit="1" customWidth="1"/>
    <col min="3" max="3" width="18.5703125" style="2" bestFit="1" customWidth="1"/>
    <col min="4" max="4" width="26" bestFit="1" customWidth="1"/>
    <col min="5" max="5" width="26.42578125" bestFit="1" customWidth="1"/>
    <col min="6" max="6" width="11.5703125" bestFit="1" customWidth="1"/>
    <col min="7" max="7" width="11" bestFit="1" customWidth="1"/>
    <col min="8" max="8" width="23.7109375" bestFit="1" customWidth="1"/>
    <col min="9" max="9" width="9.42578125" bestFit="1" customWidth="1"/>
    <col min="10" max="10" width="8.42578125" bestFit="1" customWidth="1"/>
    <col min="11" max="11" width="21.28515625" bestFit="1" customWidth="1"/>
    <col min="12" max="12" width="14" bestFit="1" customWidth="1"/>
    <col min="13" max="13" width="106.5703125" bestFit="1" customWidth="1"/>
    <col min="14" max="14" width="1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390</v>
      </c>
    </row>
    <row r="2" spans="1:14" x14ac:dyDescent="0.25">
      <c r="A2" t="s">
        <v>13</v>
      </c>
      <c r="B2" t="s">
        <v>14</v>
      </c>
      <c r="C2" s="2">
        <f t="shared" ref="C2:C65" si="0">HEX2DEC(B2)</f>
        <v>16384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4" x14ac:dyDescent="0.25">
      <c r="A3" t="s">
        <v>24</v>
      </c>
      <c r="B3" t="s">
        <v>25</v>
      </c>
      <c r="C3" s="2">
        <f t="shared" si="0"/>
        <v>16386</v>
      </c>
      <c r="D3" t="s">
        <v>26</v>
      </c>
      <c r="E3" t="s">
        <v>27</v>
      </c>
      <c r="F3" t="s">
        <v>17</v>
      </c>
      <c r="G3">
        <v>2</v>
      </c>
      <c r="H3" t="s">
        <v>18</v>
      </c>
      <c r="I3" t="s">
        <v>28</v>
      </c>
      <c r="J3" t="s">
        <v>20</v>
      </c>
      <c r="K3" t="s">
        <v>21</v>
      </c>
      <c r="L3" t="s">
        <v>22</v>
      </c>
      <c r="M3" t="s">
        <v>29</v>
      </c>
    </row>
    <row r="4" spans="1:14" x14ac:dyDescent="0.25">
      <c r="A4" t="s">
        <v>30</v>
      </c>
      <c r="B4" t="s">
        <v>31</v>
      </c>
      <c r="C4" s="2">
        <f t="shared" si="0"/>
        <v>16387</v>
      </c>
      <c r="D4" t="s">
        <v>32</v>
      </c>
      <c r="E4" t="s">
        <v>33</v>
      </c>
      <c r="F4" t="s">
        <v>34</v>
      </c>
      <c r="G4">
        <v>2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</row>
    <row r="5" spans="1:14" x14ac:dyDescent="0.25">
      <c r="A5" t="s">
        <v>41</v>
      </c>
      <c r="B5" t="s">
        <v>42</v>
      </c>
      <c r="C5" s="2">
        <f t="shared" si="0"/>
        <v>16388</v>
      </c>
      <c r="D5" t="s">
        <v>43</v>
      </c>
      <c r="E5" t="s">
        <v>44</v>
      </c>
      <c r="F5" t="s">
        <v>34</v>
      </c>
      <c r="G5">
        <v>2</v>
      </c>
      <c r="H5" t="s">
        <v>35</v>
      </c>
      <c r="I5" t="s">
        <v>45</v>
      </c>
      <c r="J5" t="s">
        <v>37</v>
      </c>
      <c r="K5" t="s">
        <v>38</v>
      </c>
      <c r="L5" t="s">
        <v>39</v>
      </c>
      <c r="M5" t="s">
        <v>46</v>
      </c>
    </row>
    <row r="6" spans="1:14" x14ac:dyDescent="0.25">
      <c r="A6" t="s">
        <v>47</v>
      </c>
      <c r="B6" t="s">
        <v>48</v>
      </c>
      <c r="C6" s="2">
        <f t="shared" si="0"/>
        <v>16389</v>
      </c>
      <c r="D6" t="s">
        <v>49</v>
      </c>
      <c r="E6" t="s">
        <v>50</v>
      </c>
      <c r="F6" t="s">
        <v>17</v>
      </c>
      <c r="G6">
        <v>4</v>
      </c>
      <c r="H6" t="s">
        <v>51</v>
      </c>
      <c r="I6" t="s">
        <v>28</v>
      </c>
      <c r="J6" t="s">
        <v>20</v>
      </c>
      <c r="K6" t="s">
        <v>21</v>
      </c>
      <c r="L6" t="s">
        <v>22</v>
      </c>
      <c r="M6" t="s">
        <v>52</v>
      </c>
    </row>
    <row r="7" spans="1:14" x14ac:dyDescent="0.25">
      <c r="A7" t="s">
        <v>53</v>
      </c>
      <c r="B7" s="2">
        <v>4007</v>
      </c>
      <c r="C7" s="2">
        <f t="shared" si="0"/>
        <v>16391</v>
      </c>
      <c r="D7" t="s">
        <v>54</v>
      </c>
      <c r="E7" t="s">
        <v>55</v>
      </c>
      <c r="F7" t="s">
        <v>17</v>
      </c>
      <c r="G7">
        <v>4</v>
      </c>
      <c r="H7" t="s">
        <v>51</v>
      </c>
      <c r="I7" t="s">
        <v>28</v>
      </c>
      <c r="J7" t="s">
        <v>20</v>
      </c>
      <c r="K7" t="s">
        <v>21</v>
      </c>
      <c r="L7" t="s">
        <v>22</v>
      </c>
      <c r="M7" t="s">
        <v>56</v>
      </c>
    </row>
    <row r="8" spans="1:14" x14ac:dyDescent="0.25">
      <c r="A8" t="s">
        <v>57</v>
      </c>
      <c r="B8" t="s">
        <v>58</v>
      </c>
      <c r="C8" s="2">
        <f>HEX2DEC(B8)</f>
        <v>16393</v>
      </c>
      <c r="D8" t="s">
        <v>59</v>
      </c>
      <c r="E8" t="s">
        <v>60</v>
      </c>
      <c r="F8" t="s">
        <v>17</v>
      </c>
      <c r="G8">
        <v>4</v>
      </c>
      <c r="H8" t="s">
        <v>51</v>
      </c>
      <c r="I8" t="s">
        <v>28</v>
      </c>
      <c r="J8" t="s">
        <v>20</v>
      </c>
      <c r="K8" t="s">
        <v>21</v>
      </c>
      <c r="L8" t="s">
        <v>22</v>
      </c>
      <c r="M8" t="s">
        <v>61</v>
      </c>
    </row>
    <row r="9" spans="1:14" x14ac:dyDescent="0.25">
      <c r="A9" t="s">
        <v>62</v>
      </c>
      <c r="B9" t="s">
        <v>63</v>
      </c>
      <c r="C9" s="2">
        <f t="shared" si="0"/>
        <v>16395</v>
      </c>
      <c r="D9" t="s">
        <v>64</v>
      </c>
      <c r="E9" t="s">
        <v>65</v>
      </c>
      <c r="F9" t="s">
        <v>17</v>
      </c>
      <c r="G9">
        <v>4</v>
      </c>
      <c r="H9" t="s">
        <v>35</v>
      </c>
      <c r="I9" t="s">
        <v>28</v>
      </c>
      <c r="J9" t="s">
        <v>20</v>
      </c>
      <c r="K9" t="s">
        <v>21</v>
      </c>
      <c r="L9" t="s">
        <v>22</v>
      </c>
      <c r="M9" t="s">
        <v>66</v>
      </c>
    </row>
    <row r="10" spans="1:14" x14ac:dyDescent="0.25">
      <c r="A10" t="s">
        <v>67</v>
      </c>
      <c r="B10" t="s">
        <v>68</v>
      </c>
      <c r="C10" s="2">
        <f t="shared" si="0"/>
        <v>16396</v>
      </c>
      <c r="D10" t="s">
        <v>69</v>
      </c>
      <c r="E10" t="s">
        <v>70</v>
      </c>
      <c r="F10" t="s">
        <v>34</v>
      </c>
      <c r="G10">
        <v>2</v>
      </c>
      <c r="H10" t="s">
        <v>18</v>
      </c>
      <c r="I10" t="s">
        <v>71</v>
      </c>
      <c r="J10" t="s">
        <v>37</v>
      </c>
      <c r="K10" t="s">
        <v>38</v>
      </c>
      <c r="L10" t="s">
        <v>39</v>
      </c>
      <c r="M10" t="s">
        <v>72</v>
      </c>
    </row>
    <row r="11" spans="1:14" x14ac:dyDescent="0.25">
      <c r="A11" t="s">
        <v>73</v>
      </c>
      <c r="B11" t="s">
        <v>74</v>
      </c>
      <c r="C11" s="2">
        <f t="shared" si="0"/>
        <v>16397</v>
      </c>
      <c r="D11" t="s">
        <v>75</v>
      </c>
      <c r="E11" t="s">
        <v>76</v>
      </c>
      <c r="F11" t="s">
        <v>34</v>
      </c>
      <c r="G11">
        <v>2</v>
      </c>
      <c r="H11" t="s">
        <v>51</v>
      </c>
      <c r="I11" t="s">
        <v>77</v>
      </c>
      <c r="J11" t="s">
        <v>37</v>
      </c>
      <c r="K11" t="s">
        <v>38</v>
      </c>
      <c r="L11" t="s">
        <v>39</v>
      </c>
      <c r="M11" t="s">
        <v>78</v>
      </c>
    </row>
    <row r="12" spans="1:14" x14ac:dyDescent="0.25">
      <c r="A12" t="s">
        <v>79</v>
      </c>
      <c r="B12" t="s">
        <v>80</v>
      </c>
      <c r="C12" s="2">
        <f t="shared" si="0"/>
        <v>16399</v>
      </c>
      <c r="D12" t="s">
        <v>81</v>
      </c>
      <c r="E12" t="s">
        <v>82</v>
      </c>
      <c r="F12" t="s">
        <v>34</v>
      </c>
      <c r="G12">
        <v>2</v>
      </c>
      <c r="H12" t="s">
        <v>35</v>
      </c>
      <c r="I12" t="s">
        <v>83</v>
      </c>
      <c r="J12" t="s">
        <v>37</v>
      </c>
      <c r="K12" t="s">
        <v>38</v>
      </c>
      <c r="L12" t="s">
        <v>39</v>
      </c>
      <c r="M12" t="s">
        <v>84</v>
      </c>
    </row>
    <row r="13" spans="1:14" x14ac:dyDescent="0.25">
      <c r="A13" t="s">
        <v>85</v>
      </c>
      <c r="B13" t="s">
        <v>86</v>
      </c>
      <c r="C13" s="2">
        <f t="shared" si="0"/>
        <v>16400</v>
      </c>
      <c r="D13" t="s">
        <v>87</v>
      </c>
      <c r="E13" t="s">
        <v>88</v>
      </c>
      <c r="F13" t="s">
        <v>34</v>
      </c>
      <c r="G13">
        <v>2</v>
      </c>
      <c r="H13" t="s">
        <v>18</v>
      </c>
      <c r="I13" t="s">
        <v>89</v>
      </c>
      <c r="J13" t="s">
        <v>37</v>
      </c>
      <c r="K13" t="s">
        <v>38</v>
      </c>
      <c r="L13" t="s">
        <v>39</v>
      </c>
      <c r="M13" t="s">
        <v>90</v>
      </c>
    </row>
    <row r="14" spans="1:14" x14ac:dyDescent="0.25">
      <c r="A14" s="3" t="s">
        <v>91</v>
      </c>
      <c r="B14" s="3" t="s">
        <v>92</v>
      </c>
      <c r="C14" s="4">
        <f t="shared" si="0"/>
        <v>16401</v>
      </c>
      <c r="D14" s="3" t="s">
        <v>93</v>
      </c>
      <c r="E14" s="3" t="s">
        <v>94</v>
      </c>
      <c r="F14" s="3" t="s">
        <v>34</v>
      </c>
      <c r="G14" s="3">
        <v>2</v>
      </c>
      <c r="H14" s="3" t="s">
        <v>18</v>
      </c>
      <c r="I14" s="3" t="s">
        <v>28</v>
      </c>
      <c r="J14" s="3" t="s">
        <v>37</v>
      </c>
      <c r="K14" s="3" t="s">
        <v>38</v>
      </c>
      <c r="L14" s="3" t="s">
        <v>39</v>
      </c>
      <c r="M14" s="3" t="s">
        <v>95</v>
      </c>
    </row>
    <row r="15" spans="1:14" x14ac:dyDescent="0.25">
      <c r="A15" s="5" t="s">
        <v>96</v>
      </c>
      <c r="B15" s="5" t="s">
        <v>97</v>
      </c>
      <c r="C15" s="6">
        <f t="shared" si="0"/>
        <v>20480</v>
      </c>
      <c r="D15" s="5" t="s">
        <v>98</v>
      </c>
      <c r="E15" s="5" t="s">
        <v>99</v>
      </c>
      <c r="F15" s="5" t="s">
        <v>17</v>
      </c>
      <c r="G15" s="5">
        <v>4</v>
      </c>
      <c r="H15" s="5" t="s">
        <v>51</v>
      </c>
      <c r="I15" s="5" t="s">
        <v>28</v>
      </c>
      <c r="J15" s="5" t="s">
        <v>20</v>
      </c>
      <c r="K15" s="5" t="s">
        <v>21</v>
      </c>
      <c r="L15" s="5" t="s">
        <v>22</v>
      </c>
      <c r="M15" s="5" t="s">
        <v>100</v>
      </c>
    </row>
    <row r="16" spans="1:14" x14ac:dyDescent="0.25">
      <c r="A16" t="s">
        <v>101</v>
      </c>
      <c r="B16" t="s">
        <v>102</v>
      </c>
      <c r="C16" s="2">
        <f t="shared" si="0"/>
        <v>20482</v>
      </c>
      <c r="D16" t="s">
        <v>103</v>
      </c>
      <c r="E16" t="s">
        <v>104</v>
      </c>
      <c r="F16" t="s">
        <v>17</v>
      </c>
      <c r="G16">
        <v>4</v>
      </c>
      <c r="H16" t="s">
        <v>51</v>
      </c>
      <c r="I16" t="s">
        <v>105</v>
      </c>
      <c r="J16" t="s">
        <v>20</v>
      </c>
      <c r="K16" t="s">
        <v>21</v>
      </c>
      <c r="L16" t="s">
        <v>22</v>
      </c>
      <c r="N16" t="s">
        <v>391</v>
      </c>
    </row>
    <row r="17" spans="1:14" x14ac:dyDescent="0.25">
      <c r="A17" t="s">
        <v>106</v>
      </c>
      <c r="B17" t="s">
        <v>107</v>
      </c>
      <c r="C17" s="2">
        <f t="shared" si="0"/>
        <v>20484</v>
      </c>
      <c r="D17" t="s">
        <v>108</v>
      </c>
      <c r="E17" t="s">
        <v>109</v>
      </c>
      <c r="F17" t="s">
        <v>17</v>
      </c>
      <c r="G17">
        <v>4</v>
      </c>
      <c r="H17" t="s">
        <v>51</v>
      </c>
      <c r="I17" t="s">
        <v>110</v>
      </c>
      <c r="J17" t="s">
        <v>20</v>
      </c>
      <c r="K17" t="s">
        <v>21</v>
      </c>
      <c r="L17" t="s">
        <v>22</v>
      </c>
      <c r="N17" t="s">
        <v>391</v>
      </c>
    </row>
    <row r="18" spans="1:14" x14ac:dyDescent="0.25">
      <c r="A18" t="s">
        <v>111</v>
      </c>
      <c r="B18" t="s">
        <v>112</v>
      </c>
      <c r="C18" s="2">
        <f t="shared" si="0"/>
        <v>20486</v>
      </c>
      <c r="D18" t="s">
        <v>113</v>
      </c>
      <c r="E18" t="s">
        <v>114</v>
      </c>
      <c r="F18" t="s">
        <v>17</v>
      </c>
      <c r="G18">
        <v>4</v>
      </c>
      <c r="H18" t="s">
        <v>51</v>
      </c>
      <c r="I18" t="s">
        <v>115</v>
      </c>
      <c r="J18" t="s">
        <v>20</v>
      </c>
      <c r="K18" t="s">
        <v>21</v>
      </c>
      <c r="L18" t="s">
        <v>22</v>
      </c>
      <c r="N18" t="s">
        <v>391</v>
      </c>
    </row>
    <row r="19" spans="1:14" x14ac:dyDescent="0.25">
      <c r="A19" t="s">
        <v>116</v>
      </c>
      <c r="B19" t="s">
        <v>117</v>
      </c>
      <c r="C19" s="2">
        <f t="shared" si="0"/>
        <v>20488</v>
      </c>
      <c r="D19" t="s">
        <v>118</v>
      </c>
      <c r="E19" t="s">
        <v>119</v>
      </c>
      <c r="F19" t="s">
        <v>17</v>
      </c>
      <c r="G19">
        <v>4</v>
      </c>
      <c r="H19" t="s">
        <v>51</v>
      </c>
      <c r="I19" t="s">
        <v>120</v>
      </c>
      <c r="J19" t="s">
        <v>20</v>
      </c>
      <c r="K19" t="s">
        <v>21</v>
      </c>
      <c r="L19" t="s">
        <v>22</v>
      </c>
      <c r="N19" t="s">
        <v>391</v>
      </c>
    </row>
    <row r="20" spans="1:14" ht="14.25" customHeight="1" x14ac:dyDescent="0.25">
      <c r="A20" s="5" t="s">
        <v>121</v>
      </c>
      <c r="B20" s="5" t="s">
        <v>122</v>
      </c>
      <c r="C20" s="6">
        <f t="shared" si="0"/>
        <v>20490</v>
      </c>
      <c r="D20" s="5" t="s">
        <v>123</v>
      </c>
      <c r="E20" s="5" t="s">
        <v>124</v>
      </c>
      <c r="F20" s="5" t="s">
        <v>17</v>
      </c>
      <c r="G20" s="5">
        <v>4</v>
      </c>
      <c r="H20" s="5" t="s">
        <v>51</v>
      </c>
      <c r="I20" s="5" t="s">
        <v>28</v>
      </c>
      <c r="J20" s="5" t="s">
        <v>20</v>
      </c>
      <c r="K20" s="5" t="s">
        <v>21</v>
      </c>
      <c r="L20" s="5" t="s">
        <v>22</v>
      </c>
      <c r="M20" s="5" t="s">
        <v>100</v>
      </c>
    </row>
    <row r="21" spans="1:14" x14ac:dyDescent="0.25">
      <c r="A21" t="s">
        <v>125</v>
      </c>
      <c r="B21" t="s">
        <v>126</v>
      </c>
      <c r="C21" s="2">
        <f t="shared" si="0"/>
        <v>20492</v>
      </c>
      <c r="D21" t="s">
        <v>127</v>
      </c>
      <c r="E21" t="s">
        <v>128</v>
      </c>
      <c r="F21" t="s">
        <v>17</v>
      </c>
      <c r="G21">
        <v>4</v>
      </c>
      <c r="H21" t="s">
        <v>51</v>
      </c>
      <c r="I21" t="s">
        <v>129</v>
      </c>
      <c r="J21" t="s">
        <v>20</v>
      </c>
      <c r="K21" t="s">
        <v>21</v>
      </c>
      <c r="L21" t="s">
        <v>22</v>
      </c>
      <c r="N21" t="s">
        <v>391</v>
      </c>
    </row>
    <row r="22" spans="1:14" x14ac:dyDescent="0.25">
      <c r="A22" t="s">
        <v>130</v>
      </c>
      <c r="B22" t="s">
        <v>131</v>
      </c>
      <c r="C22" s="2">
        <f t="shared" si="0"/>
        <v>20494</v>
      </c>
      <c r="D22" t="s">
        <v>132</v>
      </c>
      <c r="E22" t="s">
        <v>133</v>
      </c>
      <c r="F22" t="s">
        <v>17</v>
      </c>
      <c r="G22">
        <v>4</v>
      </c>
      <c r="H22" t="s">
        <v>51</v>
      </c>
      <c r="I22" t="s">
        <v>134</v>
      </c>
      <c r="J22" t="s">
        <v>20</v>
      </c>
      <c r="K22" t="s">
        <v>21</v>
      </c>
      <c r="L22" t="s">
        <v>22</v>
      </c>
      <c r="N22" t="s">
        <v>391</v>
      </c>
    </row>
    <row r="23" spans="1:14" x14ac:dyDescent="0.25">
      <c r="A23" t="s">
        <v>135</v>
      </c>
      <c r="B23" t="s">
        <v>136</v>
      </c>
      <c r="C23" s="2">
        <f t="shared" si="0"/>
        <v>20496</v>
      </c>
      <c r="D23" t="s">
        <v>137</v>
      </c>
      <c r="E23" t="s">
        <v>138</v>
      </c>
      <c r="F23" t="s">
        <v>17</v>
      </c>
      <c r="G23">
        <v>4</v>
      </c>
      <c r="H23" t="s">
        <v>51</v>
      </c>
      <c r="I23" t="s">
        <v>139</v>
      </c>
      <c r="J23" t="s">
        <v>20</v>
      </c>
      <c r="K23" t="s">
        <v>21</v>
      </c>
      <c r="L23" t="s">
        <v>22</v>
      </c>
      <c r="N23" t="s">
        <v>391</v>
      </c>
    </row>
    <row r="24" spans="1:14" x14ac:dyDescent="0.25">
      <c r="A24" t="s">
        <v>140</v>
      </c>
      <c r="B24" t="s">
        <v>141</v>
      </c>
      <c r="C24" s="2">
        <f t="shared" si="0"/>
        <v>20498</v>
      </c>
      <c r="D24" t="s">
        <v>142</v>
      </c>
      <c r="E24" t="s">
        <v>143</v>
      </c>
      <c r="F24" t="s">
        <v>17</v>
      </c>
      <c r="G24">
        <v>4</v>
      </c>
      <c r="H24" t="s">
        <v>51</v>
      </c>
      <c r="I24" t="s">
        <v>144</v>
      </c>
      <c r="J24" t="s">
        <v>20</v>
      </c>
      <c r="K24" t="s">
        <v>21</v>
      </c>
      <c r="L24" t="s">
        <v>22</v>
      </c>
      <c r="N24" t="s">
        <v>391</v>
      </c>
    </row>
    <row r="25" spans="1:14" x14ac:dyDescent="0.25">
      <c r="A25" t="s">
        <v>145</v>
      </c>
      <c r="B25" t="s">
        <v>146</v>
      </c>
      <c r="C25" s="2">
        <f t="shared" si="0"/>
        <v>20500</v>
      </c>
      <c r="D25" t="s">
        <v>147</v>
      </c>
      <c r="E25" t="s">
        <v>148</v>
      </c>
      <c r="F25" t="s">
        <v>17</v>
      </c>
      <c r="G25">
        <v>4</v>
      </c>
      <c r="H25" t="s">
        <v>51</v>
      </c>
      <c r="I25" t="s">
        <v>149</v>
      </c>
      <c r="J25" t="s">
        <v>20</v>
      </c>
      <c r="K25" t="s">
        <v>21</v>
      </c>
      <c r="L25" t="s">
        <v>22</v>
      </c>
    </row>
    <row r="26" spans="1:14" x14ac:dyDescent="0.25">
      <c r="A26" t="s">
        <v>150</v>
      </c>
      <c r="B26" t="s">
        <v>151</v>
      </c>
      <c r="C26" s="2">
        <f t="shared" si="0"/>
        <v>20502</v>
      </c>
      <c r="D26" t="s">
        <v>152</v>
      </c>
      <c r="E26" t="s">
        <v>153</v>
      </c>
      <c r="F26" t="s">
        <v>17</v>
      </c>
      <c r="G26">
        <v>4</v>
      </c>
      <c r="H26" t="s">
        <v>51</v>
      </c>
      <c r="I26" t="s">
        <v>154</v>
      </c>
      <c r="J26" t="s">
        <v>20</v>
      </c>
      <c r="K26" t="s">
        <v>21</v>
      </c>
      <c r="L26" t="s">
        <v>22</v>
      </c>
    </row>
    <row r="27" spans="1:14" x14ac:dyDescent="0.25">
      <c r="A27" t="s">
        <v>155</v>
      </c>
      <c r="B27" t="s">
        <v>156</v>
      </c>
      <c r="C27" s="2">
        <f t="shared" si="0"/>
        <v>20504</v>
      </c>
      <c r="D27" t="s">
        <v>157</v>
      </c>
      <c r="E27" t="s">
        <v>158</v>
      </c>
      <c r="F27" t="s">
        <v>17</v>
      </c>
      <c r="G27">
        <v>4</v>
      </c>
      <c r="H27" t="s">
        <v>51</v>
      </c>
      <c r="I27" t="s">
        <v>159</v>
      </c>
      <c r="J27" t="s">
        <v>20</v>
      </c>
      <c r="K27" t="s">
        <v>21</v>
      </c>
      <c r="L27" t="s">
        <v>22</v>
      </c>
    </row>
    <row r="28" spans="1:14" x14ac:dyDescent="0.25">
      <c r="A28" t="s">
        <v>160</v>
      </c>
      <c r="B28" t="s">
        <v>161</v>
      </c>
      <c r="C28" s="2">
        <f t="shared" si="0"/>
        <v>20506</v>
      </c>
      <c r="D28" t="s">
        <v>162</v>
      </c>
      <c r="E28" t="s">
        <v>163</v>
      </c>
      <c r="F28" t="s">
        <v>17</v>
      </c>
      <c r="G28">
        <v>4</v>
      </c>
      <c r="H28" t="s">
        <v>51</v>
      </c>
      <c r="I28" t="s">
        <v>28</v>
      </c>
      <c r="J28" t="s">
        <v>20</v>
      </c>
      <c r="K28" t="s">
        <v>21</v>
      </c>
      <c r="L28" t="s">
        <v>22</v>
      </c>
      <c r="N28" t="s">
        <v>391</v>
      </c>
    </row>
    <row r="29" spans="1:14" x14ac:dyDescent="0.25">
      <c r="A29" t="s">
        <v>164</v>
      </c>
      <c r="B29" t="s">
        <v>165</v>
      </c>
      <c r="C29" s="2">
        <f t="shared" si="0"/>
        <v>20508</v>
      </c>
      <c r="D29" t="s">
        <v>166</v>
      </c>
      <c r="E29" t="s">
        <v>167</v>
      </c>
      <c r="F29" t="s">
        <v>17</v>
      </c>
      <c r="G29">
        <v>4</v>
      </c>
      <c r="H29" t="s">
        <v>51</v>
      </c>
      <c r="I29" t="s">
        <v>28</v>
      </c>
      <c r="J29" t="s">
        <v>20</v>
      </c>
      <c r="K29" t="s">
        <v>21</v>
      </c>
      <c r="L29" t="s">
        <v>22</v>
      </c>
    </row>
    <row r="30" spans="1:14" x14ac:dyDescent="0.25">
      <c r="A30" t="s">
        <v>168</v>
      </c>
      <c r="B30" t="s">
        <v>169</v>
      </c>
      <c r="C30" s="2">
        <f t="shared" si="0"/>
        <v>20510</v>
      </c>
      <c r="D30" t="s">
        <v>170</v>
      </c>
      <c r="E30" t="s">
        <v>171</v>
      </c>
      <c r="F30" t="s">
        <v>17</v>
      </c>
      <c r="G30">
        <v>4</v>
      </c>
      <c r="H30" t="s">
        <v>51</v>
      </c>
      <c r="I30" t="s">
        <v>28</v>
      </c>
      <c r="J30" t="s">
        <v>20</v>
      </c>
      <c r="K30" t="s">
        <v>21</v>
      </c>
      <c r="L30" t="s">
        <v>22</v>
      </c>
    </row>
    <row r="31" spans="1:14" x14ac:dyDescent="0.25">
      <c r="A31" t="s">
        <v>172</v>
      </c>
      <c r="B31" t="s">
        <v>173</v>
      </c>
      <c r="C31" s="2">
        <f t="shared" si="0"/>
        <v>20512</v>
      </c>
      <c r="D31" t="s">
        <v>174</v>
      </c>
      <c r="E31" t="s">
        <v>175</v>
      </c>
      <c r="F31" t="s">
        <v>17</v>
      </c>
      <c r="G31">
        <v>4</v>
      </c>
      <c r="H31" t="s">
        <v>51</v>
      </c>
      <c r="I31" t="s">
        <v>28</v>
      </c>
      <c r="J31" t="s">
        <v>20</v>
      </c>
      <c r="K31" t="s">
        <v>21</v>
      </c>
      <c r="L31" t="s">
        <v>22</v>
      </c>
    </row>
    <row r="32" spans="1:14" x14ac:dyDescent="0.25">
      <c r="A32" t="s">
        <v>176</v>
      </c>
      <c r="B32" t="s">
        <v>177</v>
      </c>
      <c r="C32" s="2">
        <f t="shared" si="0"/>
        <v>20514</v>
      </c>
      <c r="D32" t="s">
        <v>178</v>
      </c>
      <c r="E32" t="s">
        <v>179</v>
      </c>
      <c r="F32" t="s">
        <v>17</v>
      </c>
      <c r="G32">
        <v>4</v>
      </c>
      <c r="H32" t="s">
        <v>51</v>
      </c>
      <c r="I32" t="s">
        <v>180</v>
      </c>
      <c r="J32" t="s">
        <v>20</v>
      </c>
      <c r="K32" t="s">
        <v>21</v>
      </c>
      <c r="L32" t="s">
        <v>22</v>
      </c>
      <c r="N32" t="s">
        <v>391</v>
      </c>
    </row>
    <row r="33" spans="1:14" x14ac:dyDescent="0.25">
      <c r="A33" t="s">
        <v>181</v>
      </c>
      <c r="B33" t="s">
        <v>182</v>
      </c>
      <c r="C33" s="2">
        <f t="shared" si="0"/>
        <v>20516</v>
      </c>
      <c r="D33" t="s">
        <v>183</v>
      </c>
      <c r="E33" t="s">
        <v>184</v>
      </c>
      <c r="F33" t="s">
        <v>17</v>
      </c>
      <c r="G33">
        <v>4</v>
      </c>
      <c r="H33" t="s">
        <v>51</v>
      </c>
      <c r="I33" t="s">
        <v>185</v>
      </c>
      <c r="J33" t="s">
        <v>20</v>
      </c>
      <c r="K33" t="s">
        <v>21</v>
      </c>
      <c r="L33" t="s">
        <v>22</v>
      </c>
    </row>
    <row r="34" spans="1:14" x14ac:dyDescent="0.25">
      <c r="A34" t="s">
        <v>186</v>
      </c>
      <c r="B34" t="s">
        <v>187</v>
      </c>
      <c r="C34" s="2">
        <f t="shared" si="0"/>
        <v>20518</v>
      </c>
      <c r="D34" t="s">
        <v>188</v>
      </c>
      <c r="E34" t="s">
        <v>189</v>
      </c>
      <c r="F34" t="s">
        <v>17</v>
      </c>
      <c r="G34">
        <v>4</v>
      </c>
      <c r="H34" t="s">
        <v>51</v>
      </c>
      <c r="I34" t="s">
        <v>190</v>
      </c>
      <c r="J34" t="s">
        <v>20</v>
      </c>
      <c r="K34" t="s">
        <v>21</v>
      </c>
      <c r="L34" t="s">
        <v>22</v>
      </c>
    </row>
    <row r="35" spans="1:14" x14ac:dyDescent="0.25">
      <c r="A35" t="s">
        <v>191</v>
      </c>
      <c r="B35" t="s">
        <v>192</v>
      </c>
      <c r="C35" s="2">
        <f t="shared" si="0"/>
        <v>20520</v>
      </c>
      <c r="D35" t="s">
        <v>193</v>
      </c>
      <c r="E35" t="s">
        <v>194</v>
      </c>
      <c r="F35" t="s">
        <v>17</v>
      </c>
      <c r="G35">
        <v>4</v>
      </c>
      <c r="H35" t="s">
        <v>51</v>
      </c>
      <c r="I35" t="s">
        <v>195</v>
      </c>
      <c r="J35" t="s">
        <v>20</v>
      </c>
      <c r="K35" t="s">
        <v>21</v>
      </c>
      <c r="L35" t="s">
        <v>22</v>
      </c>
    </row>
    <row r="36" spans="1:14" x14ac:dyDescent="0.25">
      <c r="A36" t="s">
        <v>196</v>
      </c>
      <c r="B36" t="s">
        <v>197</v>
      </c>
      <c r="C36" s="2">
        <f t="shared" si="0"/>
        <v>20522</v>
      </c>
      <c r="D36" t="s">
        <v>198</v>
      </c>
      <c r="E36" t="s">
        <v>199</v>
      </c>
      <c r="F36" t="s">
        <v>17</v>
      </c>
      <c r="G36">
        <v>4</v>
      </c>
      <c r="H36" t="s">
        <v>51</v>
      </c>
      <c r="I36" t="s">
        <v>200</v>
      </c>
      <c r="J36" t="s">
        <v>20</v>
      </c>
      <c r="K36" t="s">
        <v>21</v>
      </c>
      <c r="L36" t="s">
        <v>22</v>
      </c>
      <c r="N36" t="s">
        <v>391</v>
      </c>
    </row>
    <row r="37" spans="1:14" x14ac:dyDescent="0.25">
      <c r="A37" t="s">
        <v>201</v>
      </c>
      <c r="B37" t="s">
        <v>202</v>
      </c>
      <c r="C37" s="2">
        <f t="shared" si="0"/>
        <v>20524</v>
      </c>
      <c r="D37" t="s">
        <v>203</v>
      </c>
      <c r="E37" t="s">
        <v>204</v>
      </c>
      <c r="F37" t="s">
        <v>17</v>
      </c>
      <c r="G37">
        <v>4</v>
      </c>
      <c r="H37" t="s">
        <v>51</v>
      </c>
      <c r="I37" t="s">
        <v>205</v>
      </c>
      <c r="J37" t="s">
        <v>20</v>
      </c>
      <c r="K37" t="s">
        <v>21</v>
      </c>
      <c r="L37" t="s">
        <v>22</v>
      </c>
    </row>
    <row r="38" spans="1:14" x14ac:dyDescent="0.25">
      <c r="A38" t="s">
        <v>206</v>
      </c>
      <c r="B38" t="s">
        <v>207</v>
      </c>
      <c r="C38" s="2">
        <f t="shared" si="0"/>
        <v>20526</v>
      </c>
      <c r="D38" t="s">
        <v>208</v>
      </c>
      <c r="E38" t="s">
        <v>209</v>
      </c>
      <c r="F38" t="s">
        <v>17</v>
      </c>
      <c r="G38">
        <v>4</v>
      </c>
      <c r="H38" t="s">
        <v>51</v>
      </c>
      <c r="I38" t="s">
        <v>210</v>
      </c>
      <c r="J38" t="s">
        <v>20</v>
      </c>
      <c r="K38" t="s">
        <v>21</v>
      </c>
      <c r="L38" t="s">
        <v>22</v>
      </c>
    </row>
    <row r="39" spans="1:14" x14ac:dyDescent="0.25">
      <c r="A39" t="s">
        <v>211</v>
      </c>
      <c r="B39" t="s">
        <v>212</v>
      </c>
      <c r="C39" s="2">
        <f t="shared" si="0"/>
        <v>20528</v>
      </c>
      <c r="D39" t="s">
        <v>213</v>
      </c>
      <c r="E39" t="s">
        <v>214</v>
      </c>
      <c r="F39" t="s">
        <v>17</v>
      </c>
      <c r="G39">
        <v>4</v>
      </c>
      <c r="H39" t="s">
        <v>51</v>
      </c>
      <c r="I39" t="s">
        <v>215</v>
      </c>
      <c r="J39" t="s">
        <v>20</v>
      </c>
      <c r="K39" t="s">
        <v>21</v>
      </c>
      <c r="L39" t="s">
        <v>22</v>
      </c>
    </row>
    <row r="40" spans="1:14" x14ac:dyDescent="0.25">
      <c r="A40" t="s">
        <v>216</v>
      </c>
      <c r="B40" s="2">
        <v>6048</v>
      </c>
      <c r="C40" s="2">
        <f t="shared" si="0"/>
        <v>24648</v>
      </c>
      <c r="D40" t="s">
        <v>217</v>
      </c>
      <c r="E40" t="s">
        <v>218</v>
      </c>
      <c r="F40" t="s">
        <v>34</v>
      </c>
      <c r="G40">
        <v>2</v>
      </c>
      <c r="H40" t="s">
        <v>18</v>
      </c>
      <c r="I40" t="s">
        <v>28</v>
      </c>
      <c r="J40" t="s">
        <v>37</v>
      </c>
      <c r="K40" t="s">
        <v>38</v>
      </c>
      <c r="L40" t="s">
        <v>39</v>
      </c>
      <c r="M40" t="s">
        <v>219</v>
      </c>
    </row>
    <row r="41" spans="1:14" x14ac:dyDescent="0.25">
      <c r="A41" t="s">
        <v>220</v>
      </c>
      <c r="B41" s="2">
        <v>6000</v>
      </c>
      <c r="C41" s="2">
        <f t="shared" si="0"/>
        <v>24576</v>
      </c>
      <c r="D41" t="s">
        <v>221</v>
      </c>
      <c r="E41" t="s">
        <v>222</v>
      </c>
      <c r="F41" t="s">
        <v>17</v>
      </c>
      <c r="G41">
        <v>4</v>
      </c>
      <c r="H41" t="s">
        <v>51</v>
      </c>
      <c r="I41" t="s">
        <v>223</v>
      </c>
      <c r="J41" t="s">
        <v>20</v>
      </c>
      <c r="K41" t="s">
        <v>21</v>
      </c>
      <c r="L41" t="s">
        <v>22</v>
      </c>
      <c r="N41" t="s">
        <v>391</v>
      </c>
    </row>
    <row r="42" spans="1:14" x14ac:dyDescent="0.25">
      <c r="A42" s="2">
        <v>3100</v>
      </c>
      <c r="B42" t="s">
        <v>224</v>
      </c>
      <c r="C42" s="2">
        <f t="shared" si="0"/>
        <v>24578</v>
      </c>
      <c r="D42" t="s">
        <v>225</v>
      </c>
      <c r="E42" t="s">
        <v>226</v>
      </c>
      <c r="F42" t="s">
        <v>17</v>
      </c>
      <c r="G42">
        <v>4</v>
      </c>
      <c r="H42" t="s">
        <v>51</v>
      </c>
      <c r="I42" t="s">
        <v>227</v>
      </c>
      <c r="J42" t="s">
        <v>20</v>
      </c>
      <c r="K42" t="s">
        <v>21</v>
      </c>
      <c r="L42" t="s">
        <v>22</v>
      </c>
    </row>
    <row r="43" spans="1:14" x14ac:dyDescent="0.25">
      <c r="A43" s="2">
        <v>3200</v>
      </c>
      <c r="B43" t="s">
        <v>228</v>
      </c>
      <c r="C43" s="2">
        <f t="shared" si="0"/>
        <v>24580</v>
      </c>
      <c r="D43" t="s">
        <v>229</v>
      </c>
      <c r="E43" t="s">
        <v>230</v>
      </c>
      <c r="F43" t="s">
        <v>17</v>
      </c>
      <c r="G43">
        <v>4</v>
      </c>
      <c r="H43" t="s">
        <v>51</v>
      </c>
      <c r="I43" t="s">
        <v>231</v>
      </c>
      <c r="J43" t="s">
        <v>20</v>
      </c>
      <c r="K43" t="s">
        <v>21</v>
      </c>
      <c r="L43" t="s">
        <v>22</v>
      </c>
    </row>
    <row r="44" spans="1:14" x14ac:dyDescent="0.25">
      <c r="A44" t="s">
        <v>232</v>
      </c>
      <c r="B44" t="s">
        <v>233</v>
      </c>
      <c r="C44" s="2">
        <f t="shared" si="0"/>
        <v>24582</v>
      </c>
      <c r="D44" t="s">
        <v>234</v>
      </c>
      <c r="E44" t="s">
        <v>235</v>
      </c>
      <c r="F44" t="s">
        <v>17</v>
      </c>
      <c r="G44">
        <v>4</v>
      </c>
      <c r="H44" t="s">
        <v>51</v>
      </c>
      <c r="I44" t="s">
        <v>236</v>
      </c>
      <c r="J44" t="s">
        <v>20</v>
      </c>
      <c r="K44" t="s">
        <v>21</v>
      </c>
      <c r="L44" t="s">
        <v>22</v>
      </c>
    </row>
    <row r="45" spans="1:14" x14ac:dyDescent="0.25">
      <c r="A45" t="s">
        <v>237</v>
      </c>
      <c r="B45" t="s">
        <v>238</v>
      </c>
      <c r="C45" s="2">
        <f t="shared" si="0"/>
        <v>24584</v>
      </c>
      <c r="D45" t="s">
        <v>239</v>
      </c>
      <c r="E45" t="s">
        <v>240</v>
      </c>
      <c r="F45" t="s">
        <v>17</v>
      </c>
      <c r="G45">
        <v>4</v>
      </c>
      <c r="H45" t="s">
        <v>51</v>
      </c>
      <c r="I45" t="s">
        <v>241</v>
      </c>
      <c r="J45" t="s">
        <v>20</v>
      </c>
      <c r="K45" t="s">
        <v>21</v>
      </c>
      <c r="L45" t="s">
        <v>22</v>
      </c>
    </row>
    <row r="46" spans="1:14" x14ac:dyDescent="0.25">
      <c r="A46" t="s">
        <v>242</v>
      </c>
      <c r="B46" t="s">
        <v>243</v>
      </c>
      <c r="C46" s="2">
        <f t="shared" si="0"/>
        <v>24586</v>
      </c>
      <c r="D46" t="s">
        <v>244</v>
      </c>
      <c r="E46" t="s">
        <v>245</v>
      </c>
      <c r="F46" t="s">
        <v>17</v>
      </c>
      <c r="G46">
        <v>4</v>
      </c>
      <c r="H46" t="s">
        <v>51</v>
      </c>
      <c r="I46" t="s">
        <v>246</v>
      </c>
      <c r="J46" t="s">
        <v>20</v>
      </c>
      <c r="K46" t="s">
        <v>21</v>
      </c>
      <c r="L46" t="s">
        <v>22</v>
      </c>
    </row>
    <row r="47" spans="1:14" x14ac:dyDescent="0.25">
      <c r="A47" t="s">
        <v>247</v>
      </c>
      <c r="B47" t="s">
        <v>248</v>
      </c>
      <c r="C47" s="2">
        <f t="shared" si="0"/>
        <v>24588</v>
      </c>
      <c r="D47" t="s">
        <v>249</v>
      </c>
      <c r="E47" t="s">
        <v>250</v>
      </c>
      <c r="F47" t="s">
        <v>17</v>
      </c>
      <c r="G47">
        <v>4</v>
      </c>
      <c r="H47" t="s">
        <v>51</v>
      </c>
      <c r="I47" t="s">
        <v>251</v>
      </c>
      <c r="J47" t="s">
        <v>20</v>
      </c>
      <c r="K47" t="s">
        <v>21</v>
      </c>
      <c r="L47" t="s">
        <v>22</v>
      </c>
      <c r="N47" t="s">
        <v>391</v>
      </c>
    </row>
    <row r="48" spans="1:14" x14ac:dyDescent="0.25">
      <c r="A48" s="2">
        <v>3120</v>
      </c>
      <c r="B48" t="s">
        <v>252</v>
      </c>
      <c r="C48" s="2">
        <f t="shared" si="0"/>
        <v>24590</v>
      </c>
      <c r="D48" t="s">
        <v>253</v>
      </c>
      <c r="E48" t="s">
        <v>254</v>
      </c>
      <c r="F48" t="s">
        <v>17</v>
      </c>
      <c r="G48">
        <v>4</v>
      </c>
      <c r="H48" t="s">
        <v>51</v>
      </c>
      <c r="I48" t="s">
        <v>255</v>
      </c>
      <c r="J48" t="s">
        <v>20</v>
      </c>
      <c r="K48" t="s">
        <v>21</v>
      </c>
      <c r="L48" t="s">
        <v>22</v>
      </c>
    </row>
    <row r="49" spans="1:14" x14ac:dyDescent="0.25">
      <c r="A49" s="2">
        <v>3220</v>
      </c>
      <c r="B49" t="s">
        <v>256</v>
      </c>
      <c r="C49" s="2">
        <f t="shared" si="0"/>
        <v>24592</v>
      </c>
      <c r="D49" t="s">
        <v>257</v>
      </c>
      <c r="E49" t="s">
        <v>258</v>
      </c>
      <c r="F49" t="s">
        <v>17</v>
      </c>
      <c r="G49">
        <v>4</v>
      </c>
      <c r="H49" t="s">
        <v>51</v>
      </c>
      <c r="I49" t="s">
        <v>259</v>
      </c>
      <c r="J49" t="s">
        <v>20</v>
      </c>
      <c r="K49" t="s">
        <v>21</v>
      </c>
      <c r="L49" t="s">
        <v>22</v>
      </c>
    </row>
    <row r="50" spans="1:14" x14ac:dyDescent="0.25">
      <c r="A50" t="s">
        <v>260</v>
      </c>
      <c r="B50" t="s">
        <v>261</v>
      </c>
      <c r="C50" s="2">
        <f t="shared" si="0"/>
        <v>24594</v>
      </c>
      <c r="D50" t="s">
        <v>262</v>
      </c>
      <c r="E50" t="s">
        <v>263</v>
      </c>
      <c r="F50" t="s">
        <v>17</v>
      </c>
      <c r="G50">
        <v>4</v>
      </c>
      <c r="H50" t="s">
        <v>51</v>
      </c>
      <c r="I50" t="s">
        <v>264</v>
      </c>
      <c r="J50" t="s">
        <v>20</v>
      </c>
      <c r="K50" t="s">
        <v>21</v>
      </c>
      <c r="L50" t="s">
        <v>22</v>
      </c>
    </row>
    <row r="51" spans="1:14" x14ac:dyDescent="0.25">
      <c r="A51" t="s">
        <v>265</v>
      </c>
      <c r="B51" t="s">
        <v>266</v>
      </c>
      <c r="C51" s="2">
        <f t="shared" si="0"/>
        <v>24596</v>
      </c>
      <c r="D51" t="s">
        <v>267</v>
      </c>
      <c r="E51" t="s">
        <v>268</v>
      </c>
      <c r="F51" t="s">
        <v>17</v>
      </c>
      <c r="G51">
        <v>4</v>
      </c>
      <c r="H51" t="s">
        <v>51</v>
      </c>
      <c r="I51" t="s">
        <v>269</v>
      </c>
      <c r="J51" t="s">
        <v>20</v>
      </c>
      <c r="K51" t="s">
        <v>21</v>
      </c>
      <c r="L51" t="s">
        <v>22</v>
      </c>
    </row>
    <row r="52" spans="1:14" x14ac:dyDescent="0.25">
      <c r="A52" t="s">
        <v>270</v>
      </c>
      <c r="B52" t="s">
        <v>271</v>
      </c>
      <c r="C52" s="2">
        <f t="shared" si="0"/>
        <v>24598</v>
      </c>
      <c r="D52" t="s">
        <v>272</v>
      </c>
      <c r="E52" t="s">
        <v>273</v>
      </c>
      <c r="F52" t="s">
        <v>17</v>
      </c>
      <c r="G52">
        <v>4</v>
      </c>
      <c r="H52" t="s">
        <v>51</v>
      </c>
      <c r="I52" t="s">
        <v>274</v>
      </c>
      <c r="J52" t="s">
        <v>20</v>
      </c>
      <c r="K52" t="s">
        <v>21</v>
      </c>
      <c r="L52" t="s">
        <v>22</v>
      </c>
    </row>
    <row r="53" spans="1:14" x14ac:dyDescent="0.25">
      <c r="A53" t="s">
        <v>275</v>
      </c>
      <c r="B53" t="s">
        <v>276</v>
      </c>
      <c r="C53" s="2">
        <f t="shared" si="0"/>
        <v>24600</v>
      </c>
      <c r="D53" t="s">
        <v>277</v>
      </c>
      <c r="E53" t="s">
        <v>278</v>
      </c>
      <c r="F53" t="s">
        <v>17</v>
      </c>
      <c r="G53">
        <v>4</v>
      </c>
      <c r="H53" t="s">
        <v>51</v>
      </c>
      <c r="I53" t="s">
        <v>279</v>
      </c>
      <c r="J53" t="s">
        <v>20</v>
      </c>
      <c r="K53" t="s">
        <v>21</v>
      </c>
      <c r="L53" t="s">
        <v>22</v>
      </c>
      <c r="N53" t="s">
        <v>391</v>
      </c>
    </row>
    <row r="54" spans="1:14" x14ac:dyDescent="0.25">
      <c r="A54" s="2">
        <v>3140</v>
      </c>
      <c r="B54" t="s">
        <v>280</v>
      </c>
      <c r="C54" s="2">
        <f t="shared" si="0"/>
        <v>24602</v>
      </c>
      <c r="D54" t="s">
        <v>281</v>
      </c>
      <c r="E54" t="s">
        <v>282</v>
      </c>
      <c r="F54" t="s">
        <v>17</v>
      </c>
      <c r="G54">
        <v>4</v>
      </c>
      <c r="H54" t="s">
        <v>51</v>
      </c>
      <c r="I54" t="s">
        <v>283</v>
      </c>
      <c r="J54" t="s">
        <v>20</v>
      </c>
      <c r="K54" t="s">
        <v>21</v>
      </c>
      <c r="L54" t="s">
        <v>22</v>
      </c>
    </row>
    <row r="55" spans="1:14" x14ac:dyDescent="0.25">
      <c r="A55" s="2">
        <v>3240</v>
      </c>
      <c r="B55" t="s">
        <v>284</v>
      </c>
      <c r="C55" s="2">
        <f t="shared" si="0"/>
        <v>24604</v>
      </c>
      <c r="D55" t="s">
        <v>285</v>
      </c>
      <c r="E55" t="s">
        <v>286</v>
      </c>
      <c r="F55" t="s">
        <v>17</v>
      </c>
      <c r="G55">
        <v>4</v>
      </c>
      <c r="H55" t="s">
        <v>51</v>
      </c>
      <c r="I55" t="s">
        <v>287</v>
      </c>
      <c r="J55" t="s">
        <v>20</v>
      </c>
      <c r="K55" t="s">
        <v>21</v>
      </c>
      <c r="L55" t="s">
        <v>22</v>
      </c>
    </row>
    <row r="56" spans="1:14" x14ac:dyDescent="0.25">
      <c r="A56" s="2">
        <v>3048</v>
      </c>
      <c r="B56" t="s">
        <v>288</v>
      </c>
      <c r="C56" s="2">
        <f t="shared" si="0"/>
        <v>24606</v>
      </c>
      <c r="D56" t="s">
        <v>289</v>
      </c>
      <c r="E56" t="s">
        <v>290</v>
      </c>
      <c r="F56" t="s">
        <v>17</v>
      </c>
      <c r="G56">
        <v>4</v>
      </c>
      <c r="H56" t="s">
        <v>51</v>
      </c>
      <c r="I56" t="s">
        <v>291</v>
      </c>
      <c r="J56" t="s">
        <v>20</v>
      </c>
      <c r="K56" t="s">
        <v>21</v>
      </c>
      <c r="L56" t="s">
        <v>22</v>
      </c>
    </row>
    <row r="57" spans="1:14" x14ac:dyDescent="0.25">
      <c r="A57" t="s">
        <v>292</v>
      </c>
      <c r="B57" t="s">
        <v>293</v>
      </c>
      <c r="C57" s="2">
        <f>HEX2DEC(B57)</f>
        <v>24608</v>
      </c>
      <c r="D57" t="s">
        <v>294</v>
      </c>
      <c r="E57" t="s">
        <v>295</v>
      </c>
      <c r="F57" t="s">
        <v>17</v>
      </c>
      <c r="G57">
        <v>4</v>
      </c>
      <c r="H57" t="s">
        <v>51</v>
      </c>
      <c r="I57" t="s">
        <v>296</v>
      </c>
      <c r="J57" t="s">
        <v>20</v>
      </c>
      <c r="K57" t="s">
        <v>21</v>
      </c>
      <c r="L57" t="s">
        <v>22</v>
      </c>
    </row>
    <row r="58" spans="1:14" x14ac:dyDescent="0.25">
      <c r="A58" s="2">
        <v>3050</v>
      </c>
      <c r="B58" s="2">
        <v>6022</v>
      </c>
      <c r="C58" s="2">
        <f t="shared" si="0"/>
        <v>24610</v>
      </c>
      <c r="D58" t="s">
        <v>297</v>
      </c>
      <c r="E58" t="s">
        <v>298</v>
      </c>
      <c r="F58" t="s">
        <v>17</v>
      </c>
      <c r="G58">
        <v>4</v>
      </c>
      <c r="H58" t="s">
        <v>51</v>
      </c>
      <c r="I58" t="s">
        <v>299</v>
      </c>
      <c r="J58" t="s">
        <v>20</v>
      </c>
      <c r="K58" t="s">
        <v>21</v>
      </c>
      <c r="L58" t="s">
        <v>22</v>
      </c>
    </row>
    <row r="59" spans="1:14" x14ac:dyDescent="0.25">
      <c r="A59" t="s">
        <v>300</v>
      </c>
      <c r="B59" t="s">
        <v>301</v>
      </c>
      <c r="C59" s="2">
        <f t="shared" si="0"/>
        <v>24612</v>
      </c>
      <c r="D59" t="s">
        <v>302</v>
      </c>
      <c r="E59" t="s">
        <v>303</v>
      </c>
      <c r="F59" t="s">
        <v>17</v>
      </c>
      <c r="G59">
        <v>4</v>
      </c>
      <c r="H59" t="s">
        <v>51</v>
      </c>
      <c r="I59" t="s">
        <v>304</v>
      </c>
      <c r="J59" t="s">
        <v>20</v>
      </c>
      <c r="K59" t="s">
        <v>21</v>
      </c>
      <c r="L59" t="s">
        <v>22</v>
      </c>
      <c r="N59" t="s">
        <v>391</v>
      </c>
    </row>
    <row r="60" spans="1:14" x14ac:dyDescent="0.25">
      <c r="A60" t="s">
        <v>305</v>
      </c>
      <c r="B60" t="s">
        <v>306</v>
      </c>
      <c r="C60" s="2">
        <f t="shared" si="0"/>
        <v>24614</v>
      </c>
      <c r="D60" t="s">
        <v>307</v>
      </c>
      <c r="E60" t="s">
        <v>308</v>
      </c>
      <c r="F60" t="s">
        <v>17</v>
      </c>
      <c r="G60">
        <v>4</v>
      </c>
      <c r="H60" t="s">
        <v>51</v>
      </c>
      <c r="I60" t="s">
        <v>309</v>
      </c>
      <c r="J60" t="s">
        <v>20</v>
      </c>
      <c r="K60" t="s">
        <v>21</v>
      </c>
      <c r="L60" t="s">
        <v>22</v>
      </c>
    </row>
    <row r="61" spans="1:14" x14ac:dyDescent="0.25">
      <c r="A61" t="s">
        <v>310</v>
      </c>
      <c r="B61" t="s">
        <v>311</v>
      </c>
      <c r="C61" s="2">
        <f t="shared" si="0"/>
        <v>24616</v>
      </c>
      <c r="D61" t="s">
        <v>312</v>
      </c>
      <c r="E61" t="s">
        <v>313</v>
      </c>
      <c r="F61" t="s">
        <v>17</v>
      </c>
      <c r="G61">
        <v>4</v>
      </c>
      <c r="H61" t="s">
        <v>51</v>
      </c>
      <c r="I61" t="s">
        <v>314</v>
      </c>
      <c r="J61" t="s">
        <v>20</v>
      </c>
      <c r="K61" t="s">
        <v>21</v>
      </c>
      <c r="L61" t="s">
        <v>22</v>
      </c>
    </row>
    <row r="62" spans="1:14" x14ac:dyDescent="0.25">
      <c r="A62" t="s">
        <v>315</v>
      </c>
      <c r="B62" t="s">
        <v>316</v>
      </c>
      <c r="C62" s="2">
        <f t="shared" si="0"/>
        <v>24618</v>
      </c>
      <c r="D62" t="s">
        <v>317</v>
      </c>
      <c r="E62" t="s">
        <v>318</v>
      </c>
      <c r="F62" t="s">
        <v>17</v>
      </c>
      <c r="G62">
        <v>4</v>
      </c>
      <c r="H62" t="s">
        <v>51</v>
      </c>
      <c r="I62" t="s">
        <v>319</v>
      </c>
      <c r="J62" t="s">
        <v>20</v>
      </c>
      <c r="K62" t="s">
        <v>21</v>
      </c>
      <c r="L62" t="s">
        <v>22</v>
      </c>
    </row>
    <row r="63" spans="1:14" x14ac:dyDescent="0.25">
      <c r="A63" t="s">
        <v>320</v>
      </c>
      <c r="B63" t="s">
        <v>321</v>
      </c>
      <c r="C63" s="2">
        <f t="shared" si="0"/>
        <v>24620</v>
      </c>
      <c r="D63" t="s">
        <v>322</v>
      </c>
      <c r="E63" t="s">
        <v>323</v>
      </c>
      <c r="F63" t="s">
        <v>17</v>
      </c>
      <c r="G63">
        <v>4</v>
      </c>
      <c r="H63" t="s">
        <v>51</v>
      </c>
      <c r="I63" t="s">
        <v>324</v>
      </c>
      <c r="J63" t="s">
        <v>20</v>
      </c>
      <c r="K63" t="s">
        <v>21</v>
      </c>
      <c r="L63" t="s">
        <v>22</v>
      </c>
    </row>
    <row r="64" spans="1:14" x14ac:dyDescent="0.25">
      <c r="A64" t="s">
        <v>325</v>
      </c>
      <c r="B64" t="s">
        <v>326</v>
      </c>
      <c r="C64" s="2">
        <f t="shared" si="0"/>
        <v>24622</v>
      </c>
      <c r="D64" t="s">
        <v>327</v>
      </c>
      <c r="E64" t="s">
        <v>328</v>
      </c>
      <c r="F64" t="s">
        <v>17</v>
      </c>
      <c r="G64">
        <v>4</v>
      </c>
      <c r="H64" t="s">
        <v>51</v>
      </c>
      <c r="I64" t="s">
        <v>329</v>
      </c>
      <c r="J64" t="s">
        <v>20</v>
      </c>
      <c r="K64" t="s">
        <v>21</v>
      </c>
      <c r="L64" t="s">
        <v>22</v>
      </c>
    </row>
    <row r="65" spans="1:14" x14ac:dyDescent="0.25">
      <c r="A65" t="s">
        <v>330</v>
      </c>
      <c r="B65" t="s">
        <v>331</v>
      </c>
      <c r="C65" s="2">
        <f t="shared" si="0"/>
        <v>24624</v>
      </c>
      <c r="D65" t="s">
        <v>332</v>
      </c>
      <c r="E65" t="s">
        <v>333</v>
      </c>
      <c r="F65" t="s">
        <v>17</v>
      </c>
      <c r="G65">
        <v>4</v>
      </c>
      <c r="H65" t="s">
        <v>51</v>
      </c>
      <c r="I65" t="s">
        <v>334</v>
      </c>
      <c r="J65" t="s">
        <v>20</v>
      </c>
      <c r="K65" t="s">
        <v>21</v>
      </c>
      <c r="L65" t="s">
        <v>22</v>
      </c>
      <c r="N65" t="s">
        <v>391</v>
      </c>
    </row>
    <row r="66" spans="1:14" x14ac:dyDescent="0.25">
      <c r="A66" t="s">
        <v>335</v>
      </c>
      <c r="B66" t="s">
        <v>336</v>
      </c>
      <c r="C66" s="2">
        <f t="shared" ref="C66:C76" si="1">HEX2DEC(B66)</f>
        <v>24626</v>
      </c>
      <c r="D66" t="s">
        <v>337</v>
      </c>
      <c r="E66" t="s">
        <v>338</v>
      </c>
      <c r="F66" t="s">
        <v>17</v>
      </c>
      <c r="G66">
        <v>4</v>
      </c>
      <c r="H66" t="s">
        <v>51</v>
      </c>
      <c r="I66" t="s">
        <v>339</v>
      </c>
      <c r="J66" t="s">
        <v>20</v>
      </c>
      <c r="K66" t="s">
        <v>21</v>
      </c>
      <c r="L66" t="s">
        <v>22</v>
      </c>
    </row>
    <row r="67" spans="1:14" x14ac:dyDescent="0.25">
      <c r="A67" t="s">
        <v>340</v>
      </c>
      <c r="B67" t="s">
        <v>341</v>
      </c>
      <c r="C67" s="2">
        <f t="shared" si="1"/>
        <v>24628</v>
      </c>
      <c r="D67" t="s">
        <v>342</v>
      </c>
      <c r="E67" t="s">
        <v>343</v>
      </c>
      <c r="F67" t="s">
        <v>17</v>
      </c>
      <c r="G67">
        <v>4</v>
      </c>
      <c r="H67" t="s">
        <v>51</v>
      </c>
      <c r="I67" t="s">
        <v>344</v>
      </c>
      <c r="J67" t="s">
        <v>20</v>
      </c>
      <c r="K67" t="s">
        <v>21</v>
      </c>
      <c r="L67" t="s">
        <v>22</v>
      </c>
    </row>
    <row r="68" spans="1:14" x14ac:dyDescent="0.25">
      <c r="A68" t="s">
        <v>345</v>
      </c>
      <c r="B68" t="s">
        <v>346</v>
      </c>
      <c r="C68" s="2">
        <f t="shared" si="1"/>
        <v>24630</v>
      </c>
      <c r="D68" t="s">
        <v>347</v>
      </c>
      <c r="E68" t="s">
        <v>348</v>
      </c>
      <c r="F68" t="s">
        <v>17</v>
      </c>
      <c r="G68">
        <v>4</v>
      </c>
      <c r="H68" t="s">
        <v>51</v>
      </c>
      <c r="I68" t="s">
        <v>349</v>
      </c>
      <c r="J68" t="s">
        <v>20</v>
      </c>
      <c r="K68" t="s">
        <v>21</v>
      </c>
      <c r="L68" t="s">
        <v>22</v>
      </c>
    </row>
    <row r="69" spans="1:14" x14ac:dyDescent="0.25">
      <c r="A69" t="s">
        <v>350</v>
      </c>
      <c r="B69" t="s">
        <v>351</v>
      </c>
      <c r="C69" s="2">
        <f t="shared" si="1"/>
        <v>24632</v>
      </c>
      <c r="D69" t="s">
        <v>352</v>
      </c>
      <c r="E69" t="s">
        <v>353</v>
      </c>
      <c r="F69" t="s">
        <v>17</v>
      </c>
      <c r="G69">
        <v>4</v>
      </c>
      <c r="H69" t="s">
        <v>51</v>
      </c>
      <c r="I69" t="s">
        <v>354</v>
      </c>
      <c r="J69" t="s">
        <v>20</v>
      </c>
      <c r="K69" t="s">
        <v>21</v>
      </c>
      <c r="L69" t="s">
        <v>22</v>
      </c>
    </row>
    <row r="70" spans="1:14" x14ac:dyDescent="0.25">
      <c r="A70" t="s">
        <v>355</v>
      </c>
      <c r="B70" t="s">
        <v>356</v>
      </c>
      <c r="C70" s="2">
        <f t="shared" si="1"/>
        <v>24634</v>
      </c>
      <c r="D70" t="s">
        <v>357</v>
      </c>
      <c r="E70" t="s">
        <v>358</v>
      </c>
      <c r="F70" t="s">
        <v>17</v>
      </c>
      <c r="G70">
        <v>4</v>
      </c>
      <c r="H70" t="s">
        <v>51</v>
      </c>
      <c r="I70" t="s">
        <v>359</v>
      </c>
      <c r="J70" t="s">
        <v>20</v>
      </c>
      <c r="K70" t="s">
        <v>21</v>
      </c>
      <c r="L70" t="s">
        <v>22</v>
      </c>
    </row>
    <row r="71" spans="1:14" x14ac:dyDescent="0.25">
      <c r="A71" t="s">
        <v>360</v>
      </c>
      <c r="B71" t="s">
        <v>361</v>
      </c>
      <c r="C71" s="2">
        <f t="shared" si="1"/>
        <v>24636</v>
      </c>
      <c r="D71" t="s">
        <v>362</v>
      </c>
      <c r="E71" t="s">
        <v>363</v>
      </c>
      <c r="F71" t="s">
        <v>17</v>
      </c>
      <c r="G71">
        <v>4</v>
      </c>
      <c r="H71" t="s">
        <v>51</v>
      </c>
      <c r="I71" t="s">
        <v>364</v>
      </c>
      <c r="J71" t="s">
        <v>20</v>
      </c>
      <c r="K71" t="s">
        <v>21</v>
      </c>
      <c r="L71" t="s">
        <v>22</v>
      </c>
      <c r="N71" t="s">
        <v>391</v>
      </c>
    </row>
    <row r="72" spans="1:14" x14ac:dyDescent="0.25">
      <c r="A72" t="s">
        <v>365</v>
      </c>
      <c r="B72" t="s">
        <v>366</v>
      </c>
      <c r="C72" s="2">
        <f t="shared" si="1"/>
        <v>24638</v>
      </c>
      <c r="D72" t="s">
        <v>367</v>
      </c>
      <c r="E72" t="s">
        <v>368</v>
      </c>
      <c r="F72" t="s">
        <v>17</v>
      </c>
      <c r="G72">
        <v>4</v>
      </c>
      <c r="H72" t="s">
        <v>51</v>
      </c>
      <c r="I72" t="s">
        <v>369</v>
      </c>
      <c r="J72" t="s">
        <v>20</v>
      </c>
      <c r="K72" t="s">
        <v>21</v>
      </c>
      <c r="L72" t="s">
        <v>22</v>
      </c>
    </row>
    <row r="73" spans="1:14" x14ac:dyDescent="0.25">
      <c r="A73" t="s">
        <v>370</v>
      </c>
      <c r="B73" t="s">
        <v>371</v>
      </c>
      <c r="C73" s="2">
        <f t="shared" si="1"/>
        <v>24640</v>
      </c>
      <c r="D73" t="s">
        <v>372</v>
      </c>
      <c r="E73" t="s">
        <v>373</v>
      </c>
      <c r="F73" t="s">
        <v>17</v>
      </c>
      <c r="G73">
        <v>4</v>
      </c>
      <c r="H73" t="s">
        <v>51</v>
      </c>
      <c r="I73" t="s">
        <v>374</v>
      </c>
      <c r="J73" t="s">
        <v>20</v>
      </c>
      <c r="K73" t="s">
        <v>21</v>
      </c>
      <c r="L73" t="s">
        <v>22</v>
      </c>
    </row>
    <row r="74" spans="1:14" x14ac:dyDescent="0.25">
      <c r="A74" t="s">
        <v>375</v>
      </c>
      <c r="B74" t="s">
        <v>376</v>
      </c>
      <c r="C74" s="2">
        <f t="shared" si="1"/>
        <v>24642</v>
      </c>
      <c r="D74" t="s">
        <v>377</v>
      </c>
      <c r="E74" t="s">
        <v>378</v>
      </c>
      <c r="F74" t="s">
        <v>17</v>
      </c>
      <c r="G74">
        <v>4</v>
      </c>
      <c r="H74" t="s">
        <v>51</v>
      </c>
      <c r="I74" t="s">
        <v>379</v>
      </c>
      <c r="J74" t="s">
        <v>20</v>
      </c>
      <c r="K74" t="s">
        <v>21</v>
      </c>
      <c r="L74" t="s">
        <v>22</v>
      </c>
    </row>
    <row r="75" spans="1:14" x14ac:dyDescent="0.25">
      <c r="A75" t="s">
        <v>380</v>
      </c>
      <c r="B75" t="s">
        <v>381</v>
      </c>
      <c r="C75" s="2">
        <f t="shared" si="1"/>
        <v>24644</v>
      </c>
      <c r="D75" t="s">
        <v>382</v>
      </c>
      <c r="E75" t="s">
        <v>383</v>
      </c>
      <c r="F75" t="s">
        <v>17</v>
      </c>
      <c r="G75">
        <v>4</v>
      </c>
      <c r="H75" t="s">
        <v>51</v>
      </c>
      <c r="I75" t="s">
        <v>384</v>
      </c>
      <c r="J75" t="s">
        <v>20</v>
      </c>
      <c r="K75" t="s">
        <v>21</v>
      </c>
      <c r="L75" t="s">
        <v>22</v>
      </c>
    </row>
    <row r="76" spans="1:14" x14ac:dyDescent="0.25">
      <c r="A76" t="s">
        <v>385</v>
      </c>
      <c r="B76" t="s">
        <v>386</v>
      </c>
      <c r="C76" s="2">
        <f t="shared" si="1"/>
        <v>24646</v>
      </c>
      <c r="D76" t="s">
        <v>387</v>
      </c>
      <c r="E76" t="s">
        <v>388</v>
      </c>
      <c r="F76" t="s">
        <v>17</v>
      </c>
      <c r="G76">
        <v>4</v>
      </c>
      <c r="H76" t="s">
        <v>51</v>
      </c>
      <c r="I76" t="s">
        <v>389</v>
      </c>
      <c r="J76" t="s">
        <v>20</v>
      </c>
      <c r="K76" t="s">
        <v>21</v>
      </c>
      <c r="L76" t="s">
        <v>22</v>
      </c>
    </row>
  </sheetData>
  <autoFilter ref="A1:N7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ADF8-48D5-4F33-A323-76AFC1A8DB33}">
  <dimension ref="A1:B1"/>
  <sheetViews>
    <sheetView workbookViewId="0">
      <selection activeCell="A2" sqref="A2"/>
    </sheetView>
  </sheetViews>
  <sheetFormatPr baseColWidth="10" defaultRowHeight="15" x14ac:dyDescent="0.25"/>
  <cols>
    <col min="2" max="2" width="77" bestFit="1" customWidth="1"/>
  </cols>
  <sheetData>
    <row r="1" spans="1:2" x14ac:dyDescent="0.25">
      <c r="A1" t="s">
        <v>392</v>
      </c>
      <c r="B1" t="s">
        <v>393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Register Table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Wetzel, Martin</cp:lastModifiedBy>
  <cp:revision/>
  <dcterms:created xsi:type="dcterms:W3CDTF">2026-04-01T13:55:33Z</dcterms:created>
  <dcterms:modified xsi:type="dcterms:W3CDTF">2026-04-16T13:24:59Z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f24b8b-ed8f-417b-acb2-68bdb654e704_Enabled">
    <vt:lpwstr>true</vt:lpwstr>
  </property>
  <property fmtid="{D5CDD505-2E9C-101B-9397-08002B2CF9AE}" pid="3" name="MSIP_Label_53f24b8b-ed8f-417b-acb2-68bdb654e704_SetDate">
    <vt:lpwstr>2026-04-01T13:56:20Z</vt:lpwstr>
  </property>
  <property fmtid="{D5CDD505-2E9C-101B-9397-08002B2CF9AE}" pid="4" name="MSIP_Label_53f24b8b-ed8f-417b-acb2-68bdb654e704_Method">
    <vt:lpwstr>Standard</vt:lpwstr>
  </property>
  <property fmtid="{D5CDD505-2E9C-101B-9397-08002B2CF9AE}" pid="5" name="MSIP_Label_53f24b8b-ed8f-417b-acb2-68bdb654e704_Name">
    <vt:lpwstr>Internal Data</vt:lpwstr>
  </property>
  <property fmtid="{D5CDD505-2E9C-101B-9397-08002B2CF9AE}" pid="6" name="MSIP_Label_53f24b8b-ed8f-417b-acb2-68bdb654e704_SiteId">
    <vt:lpwstr>66012673-85f8-456b-bd8d-b234a2507c99</vt:lpwstr>
  </property>
  <property fmtid="{D5CDD505-2E9C-101B-9397-08002B2CF9AE}" pid="7" name="MSIP_Label_53f24b8b-ed8f-417b-acb2-68bdb654e704_ActionId">
    <vt:lpwstr>1f832816-3e5a-4bbb-92ba-e61bc39ba6b8</vt:lpwstr>
  </property>
  <property fmtid="{D5CDD505-2E9C-101B-9397-08002B2CF9AE}" pid="8" name="MSIP_Label_53f24b8b-ed8f-417b-acb2-68bdb654e704_ContentBits">
    <vt:lpwstr>0</vt:lpwstr>
  </property>
  <property fmtid="{D5CDD505-2E9C-101B-9397-08002B2CF9AE}" pid="9" name="MSIP_Label_53f24b8b-ed8f-417b-acb2-68bdb654e704_Tag">
    <vt:lpwstr>10, 3, 0, 2</vt:lpwstr>
  </property>
</Properties>
</file>